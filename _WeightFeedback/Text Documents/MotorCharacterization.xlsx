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d.docs.live.net/3cda156fc0c4dd1d/OneDrive - Documents/1. School/2. University/4. Year 4/FYDP-Local/thermo-force/_WeightFeedback/Text Documents/"/>
    </mc:Choice>
  </mc:AlternateContent>
  <xr:revisionPtr revIDLastSave="90" documentId="13_ncr:1_{A5A41B78-BB99-49DD-881D-5B5708ADF407}" xr6:coauthVersionLast="47" xr6:coauthVersionMax="47" xr10:uidLastSave="{A08E9F67-3D28-4F97-994A-83899AF4CB3C}"/>
  <bookViews>
    <workbookView xWindow="-120" yWindow="-120" windowWidth="29040" windowHeight="15840" xr2:uid="{00000000-000D-0000-FFFF-FFFF00000000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1" l="1"/>
  <c r="C11" i="1"/>
  <c r="T12" i="1"/>
  <c r="V10" i="1"/>
  <c r="R10" i="1"/>
  <c r="R12" i="1"/>
  <c r="F9" i="1"/>
  <c r="H9" i="1"/>
  <c r="J11" i="1"/>
  <c r="G9" i="1"/>
  <c r="C9" i="1"/>
  <c r="C10" i="1"/>
  <c r="C8" i="1"/>
  <c r="K8" i="1" l="1"/>
  <c r="K11" i="1" s="1"/>
  <c r="L11" i="1" s="1"/>
  <c r="E11" i="1"/>
  <c r="F11" i="1" s="1"/>
  <c r="Q12" i="1" l="1"/>
  <c r="W10" i="1"/>
  <c r="Q10" i="1"/>
</calcChain>
</file>

<file path=xl/sharedStrings.xml><?xml version="1.0" encoding="utf-8"?>
<sst xmlns="http://schemas.openxmlformats.org/spreadsheetml/2006/main" count="42" uniqueCount="26">
  <si>
    <t>Ra</t>
  </si>
  <si>
    <t>La</t>
  </si>
  <si>
    <t>Ra_avg</t>
  </si>
  <si>
    <t>Ke = Kt</t>
  </si>
  <si>
    <t>Va</t>
  </si>
  <si>
    <t>Ia</t>
  </si>
  <si>
    <t>Wm</t>
  </si>
  <si>
    <t>Ke</t>
  </si>
  <si>
    <t>Kt</t>
  </si>
  <si>
    <t>Tm</t>
  </si>
  <si>
    <t>-No speed reducer, no pulley
-Apply 1V, stall motor
-Measure current
-Repeat for 2V, 3V
'-Calculate  Ra = Va/Ia and average</t>
  </si>
  <si>
    <t>Va(RMS)</t>
  </si>
  <si>
    <t>Ia(RMS)</t>
  </si>
  <si>
    <t>Z</t>
  </si>
  <si>
    <t>Reac</t>
  </si>
  <si>
    <t>L</t>
  </si>
  <si>
    <t>RPM</t>
  </si>
  <si>
    <t>Stiction, Bt</t>
  </si>
  <si>
    <t>Jt</t>
  </si>
  <si>
    <t>Wm(decel)</t>
  </si>
  <si>
    <t>J</t>
  </si>
  <si>
    <t>-No speed reducer, no pulley
-1VPP, 30Hz sin wave applied to armature
-Measure AC current
-Calc Imp = Vac(RMS)/Iac(RMS)
-Calc Reac = sqrt(Imp^2-R^2)
-L = Reac/(120*Pi)</t>
  </si>
  <si>
    <t>-Speed reducer, pulley
-Apply 9V to armature
-Measure current
-Measure speed in RPM, convert to rad/s.
-Ke = Kt then equals (Va-RaIa)/Wm</t>
  </si>
  <si>
    <t>-Speed reducer, pulley
-Apply 6V, measure RPM (convert to rad/s), measure current
-Repeat for 9V
-Find torque using Tm = Ia*Kt
-Plot both points, slope is B, intercept is Stiction</t>
  </si>
  <si>
    <t>-Speed reducer, pulley
-Apply 9V to armature
-Wait for steady state, measure Ia, Wm
-Disable driver output
-Measure Wm right after turning off inverter</t>
  </si>
  <si>
    <t>delT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</si>
</sst>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quotePrefix="1" applyAlignment="1">
      <alignment horizontal="left" vertical="top" wrapText="1"/>
    </xf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171317661207398"/>
                  <c:y val="-3.6730945821854911E-2"/>
                </c:manualLayout>
              </c:layout>
              <c:numFmt formatCode="#,##0.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(Sheet1!$R$10,Sheet1!$R$12)</c:f>
              <c:numCache>
                <c:formatCode>General</c:formatCode>
                <c:ptCount val="2"/>
                <c:pt idx="0">
                  <c:v>3.0578168494940652</c:v>
                </c:pt>
                <c:pt idx="1">
                  <c:v>4.6495571273128933</c:v>
                </c:pt>
              </c:numCache>
            </c:numRef>
          </c:xVal>
          <c:yVal>
            <c:numRef>
              <c:f>(Sheet1!$Q$10,Sheet1!$Q$12)</c:f>
              <c:numCache>
                <c:formatCode>General</c:formatCode>
                <c:ptCount val="2"/>
                <c:pt idx="0">
                  <c:v>0.26787738820361079</c:v>
                </c:pt>
                <c:pt idx="1">
                  <c:v>0.31232341225533095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C-43A8-B71B-EF0D073AC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94944"/>
        <c:axId val="1084002848"/>
      </c:scatterChart>
      <c:valAx>
        <c:axId val="108399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02848"/>
        <c:crosses val="autoZero"/>
        <c:crossBetween val="midCat"/>
      </c:valAx>
      <c:valAx>
        <c:axId val="108400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9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3809</xdr:colOff>
      <xdr:row>13</xdr:row>
      <xdr:rowOff>1904</xdr:rowOff>
    </xdr:from>
    <xdr:to>
      <xdr:col>20</xdr:col>
      <xdr:colOff>561974</xdr:colOff>
      <xdr:row>23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AA550-3997-4D46-B1BA-1A9660C12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topLeftCell="C1" workbookViewId="0">
      <selection activeCell="X17" sqref="X17"/>
    </sheetView>
  </sheetViews>
  <sheetFormatPr defaultRowHeight="15" x14ac:dyDescent="0.25"/>
  <cols>
    <col min="1" max="1" width="3.28515625" bestFit="1" customWidth="1"/>
    <col min="2" max="2" width="7.140625" bestFit="1" customWidth="1"/>
    <col min="3" max="3" width="16.7109375" bestFit="1" customWidth="1"/>
    <col min="5" max="5" width="12" bestFit="1" customWidth="1"/>
    <col min="6" max="6" width="16.7109375" bestFit="1" customWidth="1"/>
    <col min="7" max="8" width="12" bestFit="1" customWidth="1"/>
    <col min="10" max="10" width="12" bestFit="1" customWidth="1"/>
    <col min="11" max="12" width="16.7109375" bestFit="1" customWidth="1"/>
    <col min="13" max="13" width="5" bestFit="1" customWidth="1"/>
    <col min="15" max="15" width="3.28515625" bestFit="1" customWidth="1"/>
    <col min="16" max="16" width="6" bestFit="1" customWidth="1"/>
    <col min="17" max="18" width="12" bestFit="1" customWidth="1"/>
    <col min="20" max="20" width="8.42578125" customWidth="1"/>
    <col min="21" max="21" width="5" bestFit="1" customWidth="1"/>
    <col min="22" max="23" width="17.85546875" bestFit="1" customWidth="1"/>
  </cols>
  <sheetData>
    <row r="1" spans="1:23" x14ac:dyDescent="0.25">
      <c r="A1" s="6" t="s">
        <v>0</v>
      </c>
      <c r="B1" s="6"/>
      <c r="C1" s="6"/>
      <c r="E1" s="8" t="s">
        <v>1</v>
      </c>
      <c r="F1" s="8"/>
      <c r="G1" s="8"/>
      <c r="H1" s="8"/>
      <c r="I1" s="1"/>
      <c r="J1" s="8" t="s">
        <v>3</v>
      </c>
      <c r="K1" s="8"/>
      <c r="L1" s="8"/>
      <c r="M1" s="8"/>
      <c r="N1" s="1"/>
      <c r="O1" s="8" t="s">
        <v>17</v>
      </c>
      <c r="P1" s="8"/>
      <c r="Q1" s="8"/>
      <c r="R1" s="8"/>
      <c r="T1" s="8" t="s">
        <v>18</v>
      </c>
      <c r="U1" s="8"/>
      <c r="V1" s="8"/>
      <c r="W1" s="8"/>
    </row>
    <row r="2" spans="1:23" ht="14.45" customHeight="1" x14ac:dyDescent="0.25">
      <c r="A2" s="7" t="s">
        <v>10</v>
      </c>
      <c r="B2" s="7"/>
      <c r="C2" s="7"/>
      <c r="E2" s="7" t="s">
        <v>21</v>
      </c>
      <c r="F2" s="7"/>
      <c r="G2" s="7"/>
      <c r="H2" s="7"/>
      <c r="J2" s="7" t="s">
        <v>22</v>
      </c>
      <c r="K2" s="7"/>
      <c r="L2" s="7"/>
      <c r="M2" s="7"/>
      <c r="N2" s="3"/>
      <c r="O2" s="7" t="s">
        <v>23</v>
      </c>
      <c r="P2" s="7"/>
      <c r="Q2" s="7"/>
      <c r="R2" s="7"/>
      <c r="T2" s="7" t="s">
        <v>24</v>
      </c>
      <c r="U2" s="9"/>
      <c r="V2" s="9"/>
      <c r="W2" s="9"/>
    </row>
    <row r="3" spans="1:23" x14ac:dyDescent="0.25">
      <c r="A3" s="7"/>
      <c r="B3" s="7"/>
      <c r="C3" s="7"/>
      <c r="E3" s="7"/>
      <c r="F3" s="7"/>
      <c r="G3" s="7"/>
      <c r="H3" s="7"/>
      <c r="J3" s="7"/>
      <c r="K3" s="7"/>
      <c r="L3" s="7"/>
      <c r="M3" s="7"/>
      <c r="N3" s="3"/>
      <c r="O3" s="7"/>
      <c r="P3" s="7"/>
      <c r="Q3" s="7"/>
      <c r="R3" s="7"/>
      <c r="T3" s="9"/>
      <c r="U3" s="9"/>
      <c r="V3" s="9"/>
      <c r="W3" s="9"/>
    </row>
    <row r="4" spans="1:23" x14ac:dyDescent="0.25">
      <c r="A4" s="7"/>
      <c r="B4" s="7"/>
      <c r="C4" s="7"/>
      <c r="E4" s="7"/>
      <c r="F4" s="7"/>
      <c r="G4" s="7"/>
      <c r="H4" s="7"/>
      <c r="J4" s="7"/>
      <c r="K4" s="7"/>
      <c r="L4" s="7"/>
      <c r="M4" s="7"/>
      <c r="N4" s="3"/>
      <c r="O4" s="7"/>
      <c r="P4" s="7"/>
      <c r="Q4" s="7"/>
      <c r="R4" s="7"/>
      <c r="T4" s="9"/>
      <c r="U4" s="9"/>
      <c r="V4" s="9"/>
      <c r="W4" s="9"/>
    </row>
    <row r="5" spans="1:23" x14ac:dyDescent="0.25">
      <c r="A5" s="7"/>
      <c r="B5" s="7"/>
      <c r="C5" s="7"/>
      <c r="E5" s="7"/>
      <c r="F5" s="7"/>
      <c r="G5" s="7"/>
      <c r="H5" s="7"/>
      <c r="J5" s="7"/>
      <c r="K5" s="7"/>
      <c r="L5" s="7"/>
      <c r="M5" s="7"/>
      <c r="N5" s="3"/>
      <c r="O5" s="7"/>
      <c r="P5" s="7"/>
      <c r="Q5" s="7"/>
      <c r="R5" s="7"/>
      <c r="T5" s="9"/>
      <c r="U5" s="9"/>
      <c r="V5" s="9"/>
      <c r="W5" s="9"/>
    </row>
    <row r="6" spans="1:23" x14ac:dyDescent="0.25">
      <c r="A6" s="7"/>
      <c r="B6" s="7"/>
      <c r="C6" s="7"/>
      <c r="E6" s="7"/>
      <c r="F6" s="7"/>
      <c r="G6" s="7"/>
      <c r="H6" s="7"/>
      <c r="J6" s="7"/>
      <c r="K6" s="7"/>
      <c r="L6" s="7"/>
      <c r="M6" s="7"/>
      <c r="N6" s="3"/>
      <c r="O6" s="7"/>
      <c r="P6" s="7"/>
      <c r="Q6" s="7"/>
      <c r="R6" s="7"/>
      <c r="T6" s="9"/>
      <c r="U6" s="9"/>
      <c r="V6" s="9"/>
      <c r="W6" s="9"/>
    </row>
    <row r="7" spans="1:23" x14ac:dyDescent="0.25">
      <c r="A7" t="s">
        <v>4</v>
      </c>
      <c r="B7" s="2" t="s">
        <v>5</v>
      </c>
      <c r="C7" s="2" t="s">
        <v>0</v>
      </c>
      <c r="E7" s="7"/>
      <c r="F7" s="7"/>
      <c r="G7" s="7"/>
      <c r="H7" s="7"/>
      <c r="J7" t="s">
        <v>4</v>
      </c>
      <c r="K7" t="s">
        <v>0</v>
      </c>
      <c r="L7" t="s">
        <v>5</v>
      </c>
      <c r="M7" t="s">
        <v>16</v>
      </c>
      <c r="O7" s="7"/>
      <c r="P7" s="7"/>
      <c r="Q7" s="7"/>
      <c r="R7" s="7"/>
      <c r="T7" s="9"/>
      <c r="U7" s="9"/>
      <c r="V7" s="9"/>
      <c r="W7" s="9"/>
    </row>
    <row r="8" spans="1:23" x14ac:dyDescent="0.25">
      <c r="A8" s="2">
        <v>1</v>
      </c>
      <c r="B8" s="2">
        <v>0.65800000000000003</v>
      </c>
      <c r="C8" s="2">
        <f>A8/B8</f>
        <v>1.519756838905775</v>
      </c>
      <c r="E8" t="s">
        <v>11</v>
      </c>
      <c r="F8" t="s">
        <v>12</v>
      </c>
      <c r="G8" t="s">
        <v>13</v>
      </c>
      <c r="H8" t="s">
        <v>0</v>
      </c>
      <c r="J8">
        <v>6</v>
      </c>
      <c r="K8">
        <f>C11</f>
        <v>1.5951842088985657</v>
      </c>
      <c r="L8">
        <v>0.26</v>
      </c>
      <c r="M8">
        <v>44.4</v>
      </c>
      <c r="O8" s="7"/>
      <c r="P8" s="7"/>
      <c r="Q8" s="7"/>
      <c r="R8" s="7"/>
      <c r="T8" s="9"/>
      <c r="U8" s="9"/>
      <c r="V8" s="9"/>
      <c r="W8" s="9"/>
    </row>
    <row r="9" spans="1:23" x14ac:dyDescent="0.25">
      <c r="A9" s="2">
        <v>2</v>
      </c>
      <c r="B9">
        <v>1.21</v>
      </c>
      <c r="C9" s="2">
        <f t="shared" ref="C9:C10" si="0">A9/B9</f>
        <v>1.6528925619834711</v>
      </c>
      <c r="E9">
        <v>0.70699999999999996</v>
      </c>
      <c r="F9">
        <f>6.356/1000</f>
        <v>6.3559999999999997E-3</v>
      </c>
      <c r="G9">
        <f>E9/F9</f>
        <v>111.23348017621146</v>
      </c>
      <c r="H9">
        <f>C8</f>
        <v>1.519756838905775</v>
      </c>
      <c r="O9" t="s">
        <v>4</v>
      </c>
      <c r="P9" t="s">
        <v>5</v>
      </c>
      <c r="Q9" t="s">
        <v>9</v>
      </c>
      <c r="R9" t="s">
        <v>6</v>
      </c>
      <c r="T9" t="s">
        <v>4</v>
      </c>
      <c r="U9" t="s">
        <v>5</v>
      </c>
      <c r="V9" t="s">
        <v>6</v>
      </c>
      <c r="W9" t="s">
        <v>9</v>
      </c>
    </row>
    <row r="10" spans="1:23" x14ac:dyDescent="0.25">
      <c r="A10">
        <v>3</v>
      </c>
      <c r="B10">
        <v>1.86</v>
      </c>
      <c r="C10" s="2">
        <f t="shared" si="0"/>
        <v>1.6129032258064515</v>
      </c>
      <c r="E10" t="s">
        <v>14</v>
      </c>
      <c r="F10" t="s">
        <v>15</v>
      </c>
      <c r="J10" t="s">
        <v>6</v>
      </c>
      <c r="K10" t="s">
        <v>7</v>
      </c>
      <c r="L10" t="s">
        <v>8</v>
      </c>
      <c r="O10">
        <v>6</v>
      </c>
      <c r="P10">
        <v>0.223</v>
      </c>
      <c r="Q10">
        <f>P10*L11</f>
        <v>0.26787738820361079</v>
      </c>
      <c r="R10">
        <f>29.2*2*PI()/60</f>
        <v>3.0578168494940652</v>
      </c>
      <c r="T10">
        <v>9</v>
      </c>
      <c r="U10">
        <v>0.26</v>
      </c>
      <c r="V10">
        <f>44.4*2*PI()/60</f>
        <v>4.6495571273128933</v>
      </c>
      <c r="W10">
        <f>L11*U10</f>
        <v>0.31232341225533095</v>
      </c>
    </row>
    <row r="11" spans="1:23" x14ac:dyDescent="0.25">
      <c r="B11" t="s">
        <v>2</v>
      </c>
      <c r="C11">
        <f>AVERAGE(C8:C10)</f>
        <v>1.5951842088985657</v>
      </c>
      <c r="E11">
        <f>SQRT(G9^2 - H9^2)</f>
        <v>111.22309765180174</v>
      </c>
      <c r="F11">
        <f>E11/(120*PI())</f>
        <v>0.2950284296212804</v>
      </c>
      <c r="J11">
        <f>M8*2*PI()/60</f>
        <v>4.6495571273128933</v>
      </c>
      <c r="K11">
        <f>(J8-K8*L8)/J11</f>
        <v>1.2012438932897345</v>
      </c>
      <c r="L11">
        <f>K11</f>
        <v>1.2012438932897345</v>
      </c>
      <c r="O11" t="s">
        <v>4</v>
      </c>
      <c r="P11" t="s">
        <v>5</v>
      </c>
      <c r="Q11" t="s">
        <v>9</v>
      </c>
      <c r="R11" t="s">
        <v>6</v>
      </c>
      <c r="T11" s="9" t="s">
        <v>19</v>
      </c>
      <c r="U11" s="9"/>
      <c r="V11" t="s">
        <v>25</v>
      </c>
      <c r="W11" t="s">
        <v>20</v>
      </c>
    </row>
    <row r="12" spans="1:23" x14ac:dyDescent="0.25">
      <c r="C12" s="4">
        <v>1.5951842088985699</v>
      </c>
      <c r="F12" s="4">
        <v>0.29502842962128001</v>
      </c>
      <c r="K12" s="4">
        <v>1.20124389328973</v>
      </c>
      <c r="L12" s="4">
        <v>1.2012438932897345</v>
      </c>
      <c r="O12">
        <v>9</v>
      </c>
      <c r="P12">
        <v>0.26</v>
      </c>
      <c r="Q12">
        <f>P12*L11</f>
        <v>0.31232341225533095</v>
      </c>
      <c r="R12">
        <f>44.4*2*PI()/60</f>
        <v>4.6495571273128933</v>
      </c>
      <c r="T12" s="9">
        <f>22.2*2*PI()/60</f>
        <v>2.3247785636564466</v>
      </c>
      <c r="U12" s="9"/>
      <c r="V12">
        <v>0.1</v>
      </c>
      <c r="W12">
        <f>W10/((V10-T12)/V12)</f>
        <v>1.3434544568584804E-2</v>
      </c>
    </row>
    <row r="13" spans="1:23" x14ac:dyDescent="0.25">
      <c r="W13" s="5">
        <v>1.34345445685848E-2</v>
      </c>
    </row>
  </sheetData>
  <mergeCells count="12">
    <mergeCell ref="T11:U11"/>
    <mergeCell ref="T12:U12"/>
    <mergeCell ref="O1:R1"/>
    <mergeCell ref="O2:R8"/>
    <mergeCell ref="T1:W1"/>
    <mergeCell ref="T2:W8"/>
    <mergeCell ref="A1:C1"/>
    <mergeCell ref="A2:C6"/>
    <mergeCell ref="E1:H1"/>
    <mergeCell ref="J1:M1"/>
    <mergeCell ref="E2:H7"/>
    <mergeCell ref="J2:M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Grasley</dc:creator>
  <cp:lastModifiedBy>Ethan Grasley</cp:lastModifiedBy>
  <dcterms:created xsi:type="dcterms:W3CDTF">2015-06-05T18:17:20Z</dcterms:created>
  <dcterms:modified xsi:type="dcterms:W3CDTF">2022-02-04T16:30:16Z</dcterms:modified>
</cp:coreProperties>
</file>